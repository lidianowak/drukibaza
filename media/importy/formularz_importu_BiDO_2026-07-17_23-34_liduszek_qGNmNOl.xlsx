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B968896B-8B52-490E-8F73-755CCE85D30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<sst xmlns="http://schemas.openxmlformats.org/spreadsheetml/2006/main" count="143" uniqueCount="127">
  <si>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</si>
  <si>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</si>
  <si>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</si>
  <si>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</si>
  <si>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</si>
  <si>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</si>
  <si>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</si>
  <si>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</si>
  <si>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</si>
  <si>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</si>
  <si>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</si>
  <si>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</si>
  <si>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</si>
  <si>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</si>
  <si>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</si>
  <si>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</si>
  <si>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</si>
  <si>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</si>
  <si>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</si>
  <si>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</si>
  <si>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</si>
  <si>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</si>
  <si>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</si>
  <si>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</si>
  <si>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</si>
  <si>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</si>
  <si>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</si>
  <si>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</si>
  <si>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</si>
  <si>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</si>
  <si>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</si>
  <si>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</si>
  <si>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</si>
  <si>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</si>
  <si>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</si>
  <si>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</si>
  <si>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</si>
  <si>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</si>
  <si>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</si>
  <si>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</si>
  <si>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</si>
  <si>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</si>
  <si>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</si>
  <si>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</si>
  <si>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</si>
  <si>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</si>
  <si>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</si>
  <si>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</si>
  <si>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</si>
  <si>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</si>
  <si>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</si>
  <si>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</si>
  <si>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</si>
  <si>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</si>
  <si>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</si>
  <si>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</si>
  <si>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</si>
  <si>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</si>
  <si>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</si>
  <si>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</si>
  <si>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</si>
  <si>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</si>
  <si>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</si>
  <si>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</si>
  <si>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</si>
  <si>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</si>
  <si>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</si>
  <si>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</si>
  <si>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</si>
  <si>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</si>
  <si>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</si>
  <si>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</si>
  <si>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</si>
  <si>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</si>
  <si>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</si>
  <si>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</si>
  <si>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</si>
  <si>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</si>
  <si>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</si>
  <si>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</si>
  <si>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</si>
  <si>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</si>
  <si>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</si>
  <si>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</si>
  <si>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</si>
  <si>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</si>
  <si>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</si>
  <si>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</si>
  <si>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</si>
  <si>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</si>
  <si>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</si>
  <si>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</si>
  <si>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</si>
  <si>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</si>
  <si>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</si>
  <si>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</si>
  <si>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</si>
  <si>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</si>
  <si>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</si>
  <si>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</si>
  <si>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</si>
  <si>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</si>
  <si>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</si>
  <si>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</si>
  <si>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</si>
  <si>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</si>
  <si>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</si>
  <si>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</si>
  <si>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</si>
  <si>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</si>
  <si>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</si>
  <si>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</si>
  <si>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</si>
  <si>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</si>
  <si>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</si>
  <si>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</si>
  <si>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</si>
  <si>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</si>
  <si>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Hecatontas Scotistica theorematum physicoanimasticorum</t>
  </si>
  <si>
    <t>Hecatontas Scotistica theorematum physicoanimasticorum, quam geminatam sub […] Alexandri a Koniecpole Koniecpolski Regni Poloniae vexilliferi […] signis […] Vladislaus Michael Kołek, philosoph. et i.u. in alma Acad. Cracov. auditor in aciem eduxit, assistente sibi […] Luca Piotrowski collega maiore […]. Cracoviae: in officina Christophori Schedelij S.R.M. Typ.</t>
  </si>
  <si>
    <t>Kołek, Władysław Michał</t>
  </si>
  <si>
    <t>R000002</t>
  </si>
  <si>
    <t>Oratio gratiarum actoria […] Vladislao IV Poloniae et Sueciae regi</t>
  </si>
  <si>
    <t>Sobieski, Marek</t>
  </si>
  <si>
    <t>Oratio gratiarum actoria […] Vladislao IV Poloniae et Sueciae regi […] pro Collegio Vladislaviano regaliter studiosae nobilitati in Academia Crac. recens extructCracoviae: in offic. Christophori Schedelij, S.R.M. typ.</t>
  </si>
  <si>
    <t>Schedel, Krzysztof</t>
  </si>
  <si>
    <t>St Dr 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</si>
</sst>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0" borderId="0" xfId="0" applyFont="1"/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7" fillId="3" borderId="0" xfId="0" applyFont="1" applyFill="1"/>
    <xf numFmtId="0" fontId="11" fillId="3" borderId="0" xfId="0" applyFont="1" applyFill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4" fillId="3" borderId="0" xfId="0" applyFont="1" applyFill="1"/>
    <xf numFmtId="0" fontId="13" fillId="0" borderId="0" xfId="0" applyFont="1"/>
    <xf numFmtId="0" fontId="15" fillId="2" borderId="0" xfId="0" applyFont="1" applyFill="1"/>
    <xf numFmtId="0" fontId="16" fillId="3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8" fillId="0" borderId="0" xfId="0" applyFont="1"/>
    <xf numFmtId="0" fontId="19" fillId="3" borderId="0" xfId="0" applyFont="1" applyFill="1"/>
    <xf numFmtId="0" fontId="4" fillId="2" borderId="0" xfId="0" applyFont="1" applyFill="1"/>
    <xf numFmtId="0" fontId="20" fillId="2" borderId="0" xfId="0" applyFont="1" applyFill="1"/>
    <xf numFmtId="0" fontId="20" fillId="0" borderId="0" xfId="0" applyFont="1"/>
    <xf numFmtId="0" fontId="21" fillId="3" borderId="0" xfId="0" applyFont="1" applyFill="1"/>
    <xf numFmtId="0" fontId="22" fillId="3" borderId="0" xfId="0" applyFont="1" applyFill="1"/>
    <xf numFmtId="0" fontId="3" fillId="2" borderId="0" xfId="0" applyFont="1" applyFill="1"/>
    <xf numFmtId="0" fontId="6" fillId="4" borderId="0" xfId="0" applyFont="1" applyFill="1"/>
    <xf numFmtId="0" fontId="15" fillId="4" borderId="0" xfId="0" applyFont="1" applyFill="1"/>
    <xf numFmtId="0" fontId="5" fillId="4" borderId="0" xfId="0" applyFont="1" applyFill="1"/>
    <xf numFmtId="0" fontId="13" fillId="4" borderId="0" xfId="0" applyFont="1" applyFill="1"/>
    <xf numFmtId="0" fontId="0" fillId="4" borderId="0" xfId="0" applyFill="1"/>
    <xf numFmtId="0" fontId="12" fillId="4" borderId="0" xfId="0" applyFont="1" applyFill="1"/>
    <xf numFmtId="0" fontId="20" fillId="4" borderId="0" xfId="0" applyFont="1" applyFill="1"/>
    <xf numFmtId="49" fontId="0" fillId="0" borderId="0" xfId="0" applyNumberFormat="1"/>
    <xf numFmtId="49" fontId="17" fillId="0" borderId="0" xfId="0" applyNumberFormat="1" applyFont="1"/>
    <xf numFmtId="49" fontId="5" fillId="0" borderId="0" xfId="0" applyNumberFormat="1" applyFont="1"/>
    <xf numFmtId="49" fontId="7" fillId="3" borderId="0" xfId="0" applyNumberFormat="1" applyFont="1" applyFill="1"/>
    <xf numFmtId="49" fontId="9" fillId="0" borderId="0" xfId="0" applyNumberFormat="1" applyFont="1"/>
    <xf numFmtId="0" fontId="8" fillId="2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"/>
  <sheetViews>
    <sheetView workbookViewId="0">
      <selection activeCell="B37" sqref="B37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18</v>
      </c>
      <c r="H14" s="25" t="s">
        <v>19</v>
      </c>
      <c r="I14" s="25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21" t="s">
        <v>25</v>
      </c>
      <c r="O14" s="21" t="s">
        <v>26</v>
      </c>
      <c r="P14" s="8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9" t="s">
        <v>35</v>
      </c>
      <c r="Y14" s="8" t="s">
        <v>36</v>
      </c>
      <c r="Z14" s="8" t="s">
        <v>37</v>
      </c>
      <c r="AA14" s="21" t="s">
        <v>38</v>
      </c>
      <c r="AB14" s="38" t="s">
        <v>39</v>
      </c>
      <c r="AC14" s="38" t="s">
        <v>40</v>
      </c>
      <c r="AD14" s="38" t="s">
        <v>41</v>
      </c>
      <c r="AE14" s="9" t="s">
        <v>42</v>
      </c>
      <c r="AF14" s="25" t="s">
        <v>43</v>
      </c>
      <c r="AG14" s="8" t="s">
        <v>44</v>
      </c>
      <c r="AH14" s="8" t="s">
        <v>45</v>
      </c>
    </row>
    <row r="15" spans="1:34" s="6" customFormat="1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>
        <v>1586</v>
      </c>
      <c r="F15" s="6" t="s">
        <v>50</v>
      </c>
      <c r="G15" s="6" t="s">
        <v>51</v>
      </c>
      <c r="H15" s="6" t="s">
        <v>52</v>
      </c>
      <c r="I15" s="6">
        <v>4</v>
      </c>
      <c r="J15" s="6">
        <v>2</v>
      </c>
      <c r="K15" s="6" t="s">
        <v>53</v>
      </c>
      <c r="L15" s="6" t="s">
        <v>54</v>
      </c>
      <c r="M15" s="6" t="s">
        <v>55</v>
      </c>
      <c r="N15" s="7" t="s">
        <v>56</v>
      </c>
      <c r="O15" s="7"/>
      <c r="P15" s="6" t="s">
        <v>57</v>
      </c>
      <c r="Q15" s="6" t="s">
        <v>58</v>
      </c>
      <c r="R15" s="6" t="s">
        <v>59</v>
      </c>
      <c r="S15" s="6" t="s">
        <v>60</v>
      </c>
      <c r="T15" s="6" t="s">
        <v>61</v>
      </c>
      <c r="U15" s="6" t="s">
        <v>62</v>
      </c>
      <c r="V15" s="6" t="s">
        <v>63</v>
      </c>
      <c r="W15" s="6" t="s">
        <v>64</v>
      </c>
      <c r="Y15" s="6" t="s">
        <v>65</v>
      </c>
      <c r="Z15" s="6" t="s">
        <v>66</v>
      </c>
      <c r="AA15" s="7" t="s">
        <v>67</v>
      </c>
      <c r="AB15" s="39" t="s">
        <v>68</v>
      </c>
      <c r="AC15" s="39" t="s">
        <v>69</v>
      </c>
      <c r="AD15" s="39" t="s">
        <v>70</v>
      </c>
      <c r="AE15" s="6" t="s">
        <v>71</v>
      </c>
      <c r="AF15" s="6" t="s">
        <v>72</v>
      </c>
      <c r="AH15" s="6" t="s">
        <v>73</v>
      </c>
    </row>
    <row r="16" spans="1:34" x14ac:dyDescent="0.25">
      <c r="A16" t="s">
        <v>46</v>
      </c>
      <c r="B16" s="14" t="s">
        <v>120</v>
      </c>
      <c r="C16" t="s">
        <v>118</v>
      </c>
      <c r="D16" t="s">
        <v>119</v>
      </c>
      <c r="E16">
        <v>1643</v>
      </c>
      <c r="F16" s="10" t="s">
        <v>50</v>
      </c>
    </row>
    <row r="17" spans="1:7" x14ac:dyDescent="0.25">
      <c r="A17" t="s">
        <v>121</v>
      </c>
      <c r="B17" s="14" t="s">
        <v>123</v>
      </c>
      <c r="C17" t="s">
        <v>122</v>
      </c>
      <c r="D17" t="s">
        <v>124</v>
      </c>
      <c r="E17">
        <v>1643</v>
      </c>
      <c r="G17" s="10" t="s">
        <v>125</v>
      </c>
    </row>
  </sheetData>
  <phoneticPr fontId="23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6"/>
  <sheetViews>
    <sheetView tabSelected="1" workbookViewId="0">
      <selection activeCell="B19" sqref="B19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74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75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</row>
    <row r="15" spans="1:32" x14ac:dyDescent="0.25">
      <c r="A15" s="6" t="s">
        <v>46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87</v>
      </c>
    </row>
    <row r="16" spans="1:32" x14ac:dyDescent="0.25">
      <c r="A16" t="s">
        <v>46</v>
      </c>
      <c r="C16" t="s">
        <v>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6"/>
  <sheetViews>
    <sheetView workbookViewId="0">
      <selection activeCell="A16" sqref="A16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88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89</v>
      </c>
      <c r="B4" s="15"/>
      <c r="C4" s="4"/>
      <c r="D4" s="4"/>
      <c r="E4" s="4"/>
      <c r="F4" s="4"/>
      <c r="G4" s="4"/>
    </row>
    <row r="5" spans="1:32" x14ac:dyDescent="0.25">
      <c r="A5" s="27" t="s">
        <v>90</v>
      </c>
      <c r="B5" s="15"/>
      <c r="C5" s="4"/>
      <c r="D5" s="4"/>
      <c r="E5" s="4"/>
      <c r="F5" s="4"/>
      <c r="G5" s="4"/>
    </row>
    <row r="6" spans="1:32" x14ac:dyDescent="0.25">
      <c r="A6" s="27" t="s">
        <v>91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5" t="s">
        <v>97</v>
      </c>
    </row>
    <row r="15" spans="1:32" x14ac:dyDescent="0.25">
      <c r="A15" s="7" t="s">
        <v>46</v>
      </c>
      <c r="B15" s="7" t="s">
        <v>98</v>
      </c>
      <c r="C15" s="7" t="s">
        <v>81</v>
      </c>
      <c r="D15" s="7" t="s">
        <v>94</v>
      </c>
      <c r="E15" s="7" t="s">
        <v>99</v>
      </c>
      <c r="F15" s="7">
        <v>1</v>
      </c>
    </row>
    <row r="16" spans="1:32" x14ac:dyDescent="0.25">
      <c r="A16" s="42"/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24</v>
      </c>
    </row>
    <row r="2" spans="1:3" x14ac:dyDescent="0.25">
      <c r="A2" t="s">
        <v>102</v>
      </c>
      <c r="B2" t="s">
        <v>103</v>
      </c>
      <c r="C2" t="s">
        <v>55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52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2026-07-18T21:06:23Z</dcterms:modified>
</cp:coreProperties>
</file>